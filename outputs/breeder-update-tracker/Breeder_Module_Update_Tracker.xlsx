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0c2e4d44034d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eeder Updates" sheetId="1" r:id="R07fdc4a969ea4d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%"/>
    <x:numFmt numFmtId="202" formatCode="mmm d, yyyy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65314"/>
      <x:name val="Carlito"/>
    </x:font>
    <x:font>
      <x:b/>
      <x:sz val="11"/>
      <x:color rgb="FF334155"/>
      <x:name val="Carlito"/>
    </x:font>
    <x:font>
      <x:b/>
      <x:sz val="14"/>
      <x:color rgb="FF0F172A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532D"/>
      </x:patternFill>
    </x:fill>
    <x:fill>
      <x:patternFill patternType="solid">
        <x:fgColor rgb="FFDCFCE7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166534"/>
      </x:patternFill>
    </x:fill>
  </x:fills>
  <x:borders count="4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1" fontId="4" fillId="5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top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51846bd5694232" /><Relationship Type="http://schemas.openxmlformats.org/officeDocument/2006/relationships/theme" Target="/xl/theme/theme1.xml" Id="Rbc61671b1fcd49a6" /><Relationship Type="http://schemas.openxmlformats.org/officeDocument/2006/relationships/sharedStrings" Target="/xl/sharedStrings.xml" Id="Rb32ffd5889b74f98" /><Relationship Type="http://schemas.openxmlformats.org/officeDocument/2006/relationships/worksheet" Target="/xl/worksheets/sheet1.xml" Id="R07fdc4a969ea4ded" /></Relationships>
</file>

<file path=xl/tables/table1.xml><?xml version="1.0" encoding="utf-8"?>
<x:table xmlns:x="http://schemas.openxmlformats.org/spreadsheetml/2006/main" id="1" name="BreederUpdateTable" displayName="BreederUpdateTable" ref="A6:D22" headerRowCount="1" totalsRowCount="0" totalsRowShown="0">
  <x:autoFilter ref="A6:D22"/>
  <x:tableColumns count="4">
    <x:tableColumn id="1" name="Module"/>
    <x:tableColumn id="2" name="Activities"/>
    <x:tableColumn id="3" name="Date"/>
    <x:tableColumn id="4" name="Status (Done/Pending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16f43bb59d4b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8" hidden="0" customWidth="1"/>
    <x:col min="3" max="3" width="17" hidden="0" customWidth="1"/>
    <x:col min="4" max="4" width="23" hidden="0" customWidth="1"/>
  </x:cols>
  <x:sheetData>
    <x:row r="1" ht="34" customHeight="1">
      <x:c r="A1" s="4" t="str">
        <x:v>BREEDER MODULE UPDATE TRACKER</x:v>
      </x:c>
      <x:c r="B1" s="4"/>
      <x:c r="C1" s="4"/>
      <x:c r="D1" s="4"/>
    </x:row>
    <x:row r="2" ht="24" customHeight="1">
      <x:c r="A2" s="8" t="str">
        <x:v>Implementation status based on repository history through 24 Aug 2026</x:v>
      </x:c>
      <x:c r="B2" s="8"/>
      <x:c r="C2" s="8"/>
      <x:c r="D2" s="8"/>
    </x:row>
    <x:row r="4" ht="24" customHeight="1">
      <x:c r="A4" s="17" t="str">
        <x:v>Total Activities</x:v>
      </x:c>
      <x:c r="B4" s="18" t="str">
        <x:v>Done</x:v>
      </x:c>
      <x:c r="C4" s="18" t="str">
        <x:v>Pending</x:v>
      </x:c>
      <x:c r="D4" s="19" t="str">
        <x:v>Completion</x:v>
      </x:c>
    </x:row>
    <x:row r="5" ht="24" customHeight="1">
      <x:c r="A5" s="31" t="n">
        <x:f>COUNTA(A7:A22)</x:f>
        <x:v>16</x:v>
      </x:c>
      <x:c r="B5" s="32" t="n">
        <x:f>COUNTIF(D7:D22,"Done")</x:f>
        <x:v>14</x:v>
      </x:c>
      <x:c r="C5" s="32" t="n">
        <x:f>COUNTIF(D7:D22,"Pending")</x:f>
        <x:v>2</x:v>
      </x:c>
      <x:c r="D5" s="33" t="n">
        <x:f>IF(A5=0,0,B5/A5)</x:f>
        <x:v>0.875</x:v>
      </x:c>
    </x:row>
    <x:row r="6" ht="27" customHeight="1">
      <x:c r="A6" s="37" t="str">
        <x:v>Module</x:v>
      </x:c>
      <x:c r="B6" s="37" t="str">
        <x:v>Activities</x:v>
      </x:c>
      <x:c r="C6" s="37" t="str">
        <x:v>Date</x:v>
      </x:c>
      <x:c r="D6" s="37" t="str">
        <x:v>Status (Done/Pending)</x:v>
      </x:c>
    </x:row>
    <x:row r="7" ht="42" customHeight="1">
      <x:c r="A7" s="39" t="str">
        <x:v>Breeder Management</x:v>
      </x:c>
      <x:c r="B7" s="41" t="str">
        <x:v>Created the main Breeder module, landing page, navigation, and module grouping.</x:v>
      </x:c>
      <x:c r="C7" s="44" t="n">
        <x:v>46128</x:v>
      </x:c>
      <x:c r="D7" s="46" t="str">
        <x:v>Done</x:v>
      </x:c>
    </x:row>
    <x:row r="8" ht="42" customHeight="1">
      <x:c r="A8" s="39" t="str">
        <x:v>Breeder Placement</x:v>
      </x:c>
      <x:c r="B8" s="41" t="str">
        <x:v>Create, edit, view, and list placements with farm, building, pen, breed, flock, warehouse, sex quantities, body weights, and breeder-cycle tracking.</x:v>
      </x:c>
      <x:c r="C8" s="44" t="n">
        <x:v>46254</x:v>
      </x:c>
      <x:c r="D8" s="46" t="str">
        <x:v>Done</x:v>
      </x:c>
    </x:row>
    <x:row r="9" ht="42" customHeight="1">
      <x:c r="A9" s="39" t="str">
        <x:v>Population Record / Flock Card</x:v>
      </x:c>
      <x:c r="B9" s="41" t="str">
        <x:v>Daily male and female inventory, mortality, culls, transfers, kitchen/condemned quantities, body weight, feed consumption, balances, and export.</x:v>
      </x:c>
      <x:c r="C9" s="44" t="n">
        <x:v>46254</x:v>
      </x:c>
      <x:c r="D9" s="46" t="str">
        <x:v>Done</x:v>
      </x:c>
    </x:row>
    <x:row r="10" ht="42" customHeight="1">
      <x:c r="A10" s="39" t="str">
        <x:v>Bird Transfer</x:v>
      </x:c>
      <x:c r="B10" s="41" t="str">
        <x:v>Transfer male and female birds between active placements with availability validation, reason, remarks, and automatic transfer-in/out posting.</x:v>
      </x:c>
      <x:c r="C10" s="44" t="n">
        <x:v>46254</x:v>
      </x:c>
      <x:c r="D10" s="46" t="str">
        <x:v>Done</x:v>
      </x:c>
    </x:row>
    <x:row r="11" ht="42" customHeight="1">
      <x:c r="A11" s="39" t="str">
        <x:v>Placement History</x:v>
      </x:c>
      <x:c r="B11" s="41" t="str">
        <x:v>Consolidated placement, population, growing, egg-laying, feed, body-weight, mortality, cull, and transfer history with filters.</x:v>
      </x:c>
      <x:c r="C11" s="44" t="n">
        <x:v>46254</x:v>
      </x:c>
      <x:c r="D11" s="46" t="str">
        <x:v>Done</x:v>
      </x:c>
    </x:row>
    <x:row r="12" ht="42" customHeight="1">
      <x:c r="A12" s="39" t="str">
        <x:v>Growing Period</x:v>
      </x:c>
      <x:c r="B12" s="41" t="str">
        <x:v>Daily growing records by farm, building, and pen with automatic flock age, population, feed, performance monitoring, and batch entry.</x:v>
      </x:c>
      <x:c r="C12" s="44" t="n">
        <x:v>46239</x:v>
      </x:c>
      <x:c r="D12" s="46" t="str">
        <x:v>Done</x:v>
      </x:c>
    </x:row>
    <x:row r="13" ht="42" customHeight="1">
      <x:c r="A13" s="39" t="str">
        <x:v>Grading</x:v>
      </x:c>
      <x:c r="B13" s="41" t="str">
        <x:v>Breeder grading transactions by placement and pen with placement lookup, quantities, and automatic age calculation.</x:v>
      </x:c>
      <x:c r="C13" s="44" t="n">
        <x:v>46198</x:v>
      </x:c>
      <x:c r="D13" s="46" t="str">
        <x:v>Done</x:v>
      </x:c>
    </x:row>
    <x:row r="14" ht="42" customHeight="1">
      <x:c r="A14" s="39" t="str">
        <x:v>Laying Production</x:v>
      </x:c>
      <x:c r="B14" s="41" t="str">
        <x:v>Daily egg production for hatching, table, cracked, soft-shell, rejected, and condemned eggs with totals and breeder-cycle linkage.</x:v>
      </x:c>
      <x:c r="C14" s="44" t="n">
        <x:v>46254</x:v>
      </x:c>
      <x:c r="D14" s="46" t="str">
        <x:v>Done</x:v>
      </x:c>
    </x:row>
    <x:row r="15" ht="42" customHeight="1">
      <x:c r="A15" s="39" t="str">
        <x:v>Vaccination</x:v>
      </x:c>
      <x:c r="B15" s="41" t="str">
        <x:v>Farm/building/pen coverage, vaccine and batch details, dosage, route, booster schedule, expiry checks, bird reconciliation, and verification.</x:v>
      </x:c>
      <x:c r="C15" s="44" t="n">
        <x:v>46251</x:v>
      </x:c>
      <x:c r="D15" s="46" t="str">
        <x:v>Done</x:v>
      </x:c>
    </x:row>
    <x:row r="16" ht="42" customHeight="1">
      <x:c r="A16" s="39" t="str">
        <x:v>Medication</x:v>
      </x:c>
      <x:c r="B16" s="41" t="str">
        <x:v>Farm/building/pen coverage, medication details, dosage, route, treatment period, indication, prescriber, administrator, and remarks.</x:v>
      </x:c>
      <x:c r="C16" s="44" t="n">
        <x:v>46251</x:v>
      </x:c>
      <x:c r="D16" s="46" t="str">
        <x:v>Done</x:v>
      </x:c>
    </x:row>
    <x:row r="17" ht="42" customHeight="1">
      <x:c r="A17" s="39" t="str">
        <x:v>Breeder Dispatch</x:v>
      </x:c>
      <x:c r="B17" s="41" t="str">
        <x:v>Population and egg dispatch with hatchery destination, vehicle traceability, filters, balance validation, draft/post/cancel, and printable slip.</x:v>
      </x:c>
      <x:c r="C17" s="44" t="n">
        <x:v>46254</x:v>
      </x:c>
      <x:c r="D17" s="46" t="str">
        <x:v>Done</x:v>
      </x:c>
    </x:row>
    <x:row r="18" ht="42" customHeight="1">
      <x:c r="A18" s="39" t="str">
        <x:v>Breeder Clean-Up</x:v>
      </x:c>
      <x:c r="B18" s="41" t="str">
        <x:v>Cycle and pen clean-up with system-versus-actual male/female quantities, batch entry, reasons, remarks, filters, summaries, edit, and delete.</x:v>
      </x:c>
      <x:c r="C18" s="44" t="n">
        <x:v>46254</x:v>
      </x:c>
      <x:c r="D18" s="46" t="str">
        <x:v>Done</x:v>
      </x:c>
    </x:row>
    <x:row r="19" ht="42" customHeight="1">
      <x:c r="A19" s="39" t="str">
        <x:v>Breeder Reports</x:v>
      </x:c>
      <x:c r="B19" s="41" t="str">
        <x:v>Breeder report pages and report forms with farm, placement, cycle, and date-based selections.</x:v>
      </x:c>
      <x:c r="C19" s="44" t="n">
        <x:v>46251</x:v>
      </x:c>
      <x:c r="D19" s="46" t="str">
        <x:v>Done</x:v>
      </x:c>
    </x:row>
    <x:row r="20" ht="42" customHeight="1">
      <x:c r="A20" s="39" t="str">
        <x:v>Validation &amp; Data Safeguards</x:v>
      </x:c>
      <x:c r="B20" s="41" t="str">
        <x:v>Active placement/cycle checks, population and inventory validation, duplicate prevention, database policies, and transaction controls.</x:v>
      </x:c>
      <x:c r="C20" s="44" t="n">
        <x:v>46254</x:v>
      </x:c>
      <x:c r="D20" s="46" t="str">
        <x:v>Done</x:v>
      </x:c>
    </x:row>
    <x:row r="21" ht="42" customHeight="1">
      <x:c r="A21" s="39" t="str">
        <x:v>Room Monitoring</x:v>
      </x:c>
      <x:c r="B21" s="41" t="str">
        <x:v>Breeder room-monitoring report and operational screen.</x:v>
      </x:c>
      <x:c r="C21" s="44"/>
      <x:c r="D21" s="46" t="str">
        <x:v>Pending</x:v>
      </x:c>
    </x:row>
    <x:row r="22" ht="42" customHeight="1">
      <x:c r="A22" s="39" t="str">
        <x:v>Machine Monitoring</x:v>
      </x:c>
      <x:c r="B22" s="41" t="str">
        <x:v>Breeder machine-monitoring report and operational screen.</x:v>
      </x:c>
      <x:c r="C22" s="44"/>
      <x:c r="D22" s="46" t="str">
        <x:v>Pending</x:v>
      </x:c>
    </x:row>
  </x:sheetData>
  <x:mergeCells>
    <x:mergeCell ref="A1:D1"/>
    <x:mergeCell ref="A2:D2"/>
  </x:mergeCells>
  <x:conditionalFormatting sqref="D7:D22">
    <x:cfRule type="containsText" dxfId="0" priority="1" operator="containsText" text="Done"/>
    <x:cfRule type="containsText" dxfId="1" priority="2" operator="containsText" text="Pending"/>
  </x:conditionalFormatting>
  <x:dataValidations count="1">
    <x:dataValidation type="list" sqref="D7:D50">
      <x:formula1>"Done,Pending"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16f43bb59d4b86"/>
  </x:tableParts>
</x:worksheet>
</file>